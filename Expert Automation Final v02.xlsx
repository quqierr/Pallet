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qi.qu\Downloads\"/>
    </mc:Choice>
  </mc:AlternateContent>
  <xr:revisionPtr revIDLastSave="0" documentId="13_ncr:1_{EEA9CB6F-5D97-4C34-8C77-AF79C5E38EC0}" xr6:coauthVersionLast="47" xr6:coauthVersionMax="47" xr10:uidLastSave="{00000000-0000-0000-0000-000000000000}"/>
  <bookViews>
    <workbookView xWindow="4344" yWindow="1236" windowWidth="17280" windowHeight="8880" xr2:uid="{01915C0D-4F25-4949-B12A-8FD1DC934101}"/>
  </bookViews>
  <sheets>
    <sheet name="Models" sheetId="1" r:id="rId1"/>
    <sheet name="Combination" sheetId="3" r:id="rId2"/>
  </sheets>
  <definedNames>
    <definedName name="_xlnm._FilterDatabase" localSheetId="0" hidden="1">Models!$A$1:$L$57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2" i="1"/>
</calcChain>
</file>

<file path=xl/sharedStrings.xml><?xml version="1.0" encoding="utf-8"?>
<sst xmlns="http://schemas.openxmlformats.org/spreadsheetml/2006/main" count="277" uniqueCount="101">
  <si>
    <t>Product code</t>
  </si>
  <si>
    <t>Cooling</t>
  </si>
  <si>
    <t>HCE200C</t>
  </si>
  <si>
    <t xml:space="preserve">Waschmaschine </t>
  </si>
  <si>
    <t>Spüler</t>
  </si>
  <si>
    <t>HCE420D</t>
  </si>
  <si>
    <t>Trockner</t>
  </si>
  <si>
    <t>Backofen</t>
  </si>
  <si>
    <t>HDPW7620AANPK</t>
  </si>
  <si>
    <t>Waschtrockner</t>
  </si>
  <si>
    <t>Kochfeld (60er)</t>
  </si>
  <si>
    <t>Kochfeld (80er)</t>
  </si>
  <si>
    <t>HTW7620ANMG</t>
  </si>
  <si>
    <t>HFR3718ENGB</t>
  </si>
  <si>
    <t>HFR79F19EFGK</t>
  </si>
  <si>
    <t>HSW79F18ANMM</t>
  </si>
  <si>
    <t>H4F226WEH1</t>
  </si>
  <si>
    <t>H4F226WDH1</t>
  </si>
  <si>
    <t>H4F272WDH1</t>
  </si>
  <si>
    <t>H4F306WDH1</t>
  </si>
  <si>
    <t>HWS77GDAU1</t>
  </si>
  <si>
    <t>HWS58GGH1</t>
  </si>
  <si>
    <t>HCE321C</t>
  </si>
  <si>
    <t>HCR79F19CNMD</t>
  </si>
  <si>
    <t>H4F306WAH1</t>
  </si>
  <si>
    <t>H4R306WAH1</t>
  </si>
  <si>
    <t>HFR79F19DFGB</t>
  </si>
  <si>
    <t>HDPR1620ANPK</t>
  </si>
  <si>
    <t>HTR3618CNMG</t>
  </si>
  <si>
    <t>HCR3818DWMM</t>
  </si>
  <si>
    <t>HCR59F18DNMB</t>
  </si>
  <si>
    <t>CBI Cooling</t>
  </si>
  <si>
    <t>HBW7518CF</t>
  </si>
  <si>
    <t>HUC44GDEH1</t>
  </si>
  <si>
    <t>HATB 174 DE</t>
  </si>
  <si>
    <t>CBI Oven</t>
  </si>
  <si>
    <t>H6 ID68M5YTB</t>
  </si>
  <si>
    <t>H6 ID48L5YTB</t>
  </si>
  <si>
    <t>H6 ID23T3HTB</t>
  </si>
  <si>
    <t>H6 ID23B3YTB</t>
  </si>
  <si>
    <t>HAI64SCM</t>
  </si>
  <si>
    <t>HAMTB86IRCS</t>
  </si>
  <si>
    <t>CBI DW</t>
  </si>
  <si>
    <t>XS 63A4M4B</t>
  </si>
  <si>
    <t>XS 4B0M3SB-84</t>
  </si>
  <si>
    <t>XF 4B2E1S-84</t>
  </si>
  <si>
    <t>XH 4B2F1S</t>
  </si>
  <si>
    <t>Washing</t>
  </si>
  <si>
    <t>HW70-BP14637T</t>
  </si>
  <si>
    <t>HW80-BP1426637</t>
  </si>
  <si>
    <t>HW100-BP14637</t>
  </si>
  <si>
    <t>HW80-BP14657TU1</t>
  </si>
  <si>
    <t>HW90-BP14657TU1</t>
  </si>
  <si>
    <t>HW80-B14667TU1</t>
  </si>
  <si>
    <t>HW90-B14667TU1</t>
  </si>
  <si>
    <t>HW130-B14687U1</t>
  </si>
  <si>
    <t>HWD80-BP14637T</t>
  </si>
  <si>
    <t>HWD100-BP14657U1</t>
  </si>
  <si>
    <t>HD90-C637</t>
  </si>
  <si>
    <t>HD80-C657U1</t>
  </si>
  <si>
    <t>HD90-B667U1</t>
  </si>
  <si>
    <t>HD90-A687U1</t>
  </si>
  <si>
    <t>HAMQD 410CBL9GN-84</t>
  </si>
  <si>
    <t>HW50-BP12307U1</t>
  </si>
  <si>
    <t>HWD50-BP12307U1</t>
  </si>
  <si>
    <t>THASNQ286TM5-84</t>
  </si>
  <si>
    <t>HW90-BPD13386GU1</t>
  </si>
  <si>
    <t>Mix Palett 1</t>
  </si>
  <si>
    <t>Mix Palett 2</t>
  </si>
  <si>
    <t>Mix Palett 3</t>
  </si>
  <si>
    <t>Mix Palett 4</t>
  </si>
  <si>
    <t>Mix Palett 5</t>
  </si>
  <si>
    <t>Mix Palett 6</t>
  </si>
  <si>
    <t>Numbers on one pallet</t>
  </si>
  <si>
    <t>Sub-Categories</t>
  </si>
  <si>
    <t>Categories</t>
  </si>
  <si>
    <t>Product name</t>
  </si>
  <si>
    <t>CBI Hob</t>
  </si>
  <si>
    <t>Toplader</t>
  </si>
  <si>
    <t>CST9619DNGBW</t>
  </si>
  <si>
    <t>CSW9619ENGBW</t>
  </si>
  <si>
    <t>Kühlschrank BI</t>
  </si>
  <si>
    <t>Kühlschrank</t>
  </si>
  <si>
    <t>Combi</t>
  </si>
  <si>
    <t>Mix Palett 7</t>
  </si>
  <si>
    <t>Mix Palett 8</t>
  </si>
  <si>
    <t>Mix Palett 9</t>
  </si>
  <si>
    <t>Mix Palett 10</t>
  </si>
  <si>
    <t>Mix Palett 11</t>
  </si>
  <si>
    <t>Mix Palett 12</t>
  </si>
  <si>
    <t>Category code</t>
  </si>
  <si>
    <t>A</t>
  </si>
  <si>
    <t>B</t>
  </si>
  <si>
    <t>S</t>
  </si>
  <si>
    <t>KB</t>
  </si>
  <si>
    <t>K1</t>
  </si>
  <si>
    <t>K2</t>
  </si>
  <si>
    <t>K6</t>
  </si>
  <si>
    <t>Product volume</t>
  </si>
  <si>
    <t>K8</t>
  </si>
  <si>
    <t>Product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</si>
</sst>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-&quot;L.&quot;\ * #,##0.00_-;\-&quot;L.&quot;\ * #,##0.00_-;_-&quot;L.&quot;\ * &quot;-&quot;??_-;_-@_-"/>
    <numFmt numFmtId="167" formatCode="#,##0.00\ [$€-1]_);[Red]\(#,##0.00\ [$€-1]\)"/>
    <numFmt numFmtId="168" formatCode="[$-409]mmm\-yy"/>
    <numFmt numFmtId="169" formatCode="#,##0.00\ [$€-1]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charset val="134"/>
      <scheme val="minor"/>
    </font>
    <font>
      <sz val="11"/>
      <color indexed="8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70C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50">
    <xf numFmtId="0" fontId="0" fillId="0" borderId="0"/>
    <xf numFmtId="0" fontId="4" fillId="0" borderId="0"/>
    <xf numFmtId="0" fontId="3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>
      <alignment vertical="center"/>
    </xf>
    <xf numFmtId="0" fontId="4" fillId="0" borderId="0"/>
    <xf numFmtId="0" fontId="4" fillId="0" borderId="0"/>
    <xf numFmtId="0" fontId="6" fillId="0" borderId="0"/>
    <xf numFmtId="9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7" fillId="0" borderId="0"/>
    <xf numFmtId="0" fontId="4" fillId="0" borderId="0"/>
    <xf numFmtId="0" fontId="4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8" fillId="0" borderId="0"/>
  </cellStyleXfs>
  <cellXfs count="21">
    <xf numFmtId="0" fontId="0" fillId="0" borderId="0" xfId="0"/>
    <xf numFmtId="0" fontId="0" fillId="0" borderId="0" xfId="0" applyAlignment="1">
      <alignment vertical="center" wrapText="1"/>
    </xf>
    <xf numFmtId="0" fontId="9" fillId="0" borderId="0" xfId="0" applyFont="1"/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0" fillId="4" borderId="0" xfId="0" applyFill="1" applyAlignment="1">
      <alignment horizontal="right" vertical="center"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left" vertical="center" wrapText="1"/>
    </xf>
    <xf numFmtId="2" fontId="2" fillId="0" borderId="0" xfId="0" applyNumberFormat="1" applyFont="1" applyAlignment="1">
      <alignment horizontal="left" vertical="center" wrapText="1"/>
    </xf>
    <xf numFmtId="2" fontId="0" fillId="0" borderId="0" xfId="0" applyNumberFormat="1" applyAlignment="1">
      <alignment horizontal="left" vertical="center" wrapText="1"/>
    </xf>
    <xf numFmtId="2" fontId="0" fillId="0" borderId="0" xfId="0" applyNumberFormat="1" applyAlignment="1">
      <alignment horizontal="left"/>
    </xf>
    <xf numFmtId="169" fontId="2" fillId="0" borderId="0" xfId="0" applyNumberFormat="1" applyFont="1" applyAlignment="1">
      <alignment horizontal="left" vertical="center" wrapText="1"/>
    </xf>
    <xf numFmtId="169" fontId="0" fillId="0" borderId="0" xfId="0" applyNumberFormat="1" applyAlignment="1">
      <alignment horizontal="left" vertical="center" wrapText="1"/>
    </xf>
    <xf numFmtId="169" fontId="0" fillId="0" borderId="0" xfId="0" applyNumberFormat="1" applyAlignment="1">
      <alignment horizontal="left"/>
    </xf>
  </cellXfs>
  <cellStyles count="50">
    <cellStyle name="Comma 2" xfId="3" xr:uid="{EE8FBED8-C24E-4A69-85E4-2958B15E3311}"/>
    <cellStyle name="Comma 2 2" xfId="48" xr:uid="{D0934209-7552-4DAF-AE74-9CB3B6516302}"/>
    <cellStyle name="Comma 3" xfId="4" xr:uid="{34F24D66-FE21-48AA-84A3-1709617E1034}"/>
    <cellStyle name="Comma 3 2" xfId="5" xr:uid="{05B47659-C3AE-46C1-95C6-1D34C8782ED3}"/>
    <cellStyle name="Comma 4" xfId="6" xr:uid="{4A6A1EBA-171F-4D73-925B-813D25D7B648}"/>
    <cellStyle name="Currency 2" xfId="7" xr:uid="{3813A854-3949-46D4-BE63-6C2198AAC31E}"/>
    <cellStyle name="Currency 2 2" xfId="47" xr:uid="{4C1A4768-7DC3-4162-9C93-D2BC1528967B}"/>
    <cellStyle name="Hyperlink" xfId="2" xr:uid="{644F9A60-8B99-4B52-8C82-033ACB4D4C48}"/>
    <cellStyle name="Komma 2" xfId="8" xr:uid="{CB5A74B9-0D39-47CA-A035-FADA3ACFAEFA}"/>
    <cellStyle name="Migliaia 10 2 2 2 2 2 2 2" xfId="9" xr:uid="{002A4405-1700-4AB0-B2DB-E372FB84526B}"/>
    <cellStyle name="Migliaia 10 4" xfId="10" xr:uid="{479C3330-64BD-4282-8113-9B39FC0FA107}"/>
    <cellStyle name="Migliaia 10 5" xfId="11" xr:uid="{D64A8CDB-E373-4ACE-8EBC-29C246F5BD25}"/>
    <cellStyle name="Migliaia 10 6" xfId="12" xr:uid="{6E08C84E-F85D-4572-84EE-B45250262C2E}"/>
    <cellStyle name="Migliaia 10 7" xfId="13" xr:uid="{ACAC4D00-5A38-42AD-8626-80D8EAB762A9}"/>
    <cellStyle name="Migliaia 10 8" xfId="14" xr:uid="{2564A2DD-8775-4484-A44E-D15A40F09B4E}"/>
    <cellStyle name="Migliaia 12" xfId="15" xr:uid="{0CC4C7EF-467B-4DB6-8E60-A00B2FE14E16}"/>
    <cellStyle name="Migliaia 14" xfId="16" xr:uid="{A9438EAF-7E5E-44B2-8F57-39DEFB4E3CB3}"/>
    <cellStyle name="Migliaia 15" xfId="17" xr:uid="{A507C3E1-49E7-44F4-B3E8-C813DC673D21}"/>
    <cellStyle name="Migliaia 16" xfId="18" xr:uid="{3D6DD0F5-934B-44AC-8491-C42EB5F42170}"/>
    <cellStyle name="Migliaia 17" xfId="19" xr:uid="{E4FD5031-ECDC-4039-BB07-BAF7704820BD}"/>
    <cellStyle name="Migliaia 18" xfId="20" xr:uid="{C5AD9CA1-E29B-4338-90A9-94222A9A2DAA}"/>
    <cellStyle name="Migliaia 19" xfId="21" xr:uid="{CB9FA111-4801-46A6-A6C8-58AAE05E7AC1}"/>
    <cellStyle name="Migliaia 2" xfId="22" xr:uid="{5B0826E4-10CF-4879-B9F4-2BE8C1FC4F27}"/>
    <cellStyle name="Migliaia 2 11" xfId="23" xr:uid="{6F49FEB7-B082-482E-A660-009B1B08662B}"/>
    <cellStyle name="Migliaia 2 5" xfId="24" xr:uid="{7667BFD7-654A-4BCD-9C28-DE1BDB2E2C3B}"/>
    <cellStyle name="Migliaia 2 7" xfId="25" xr:uid="{4142F903-DC8E-41C5-8481-47468BCB6A0C}"/>
    <cellStyle name="Migliaia 2 9" xfId="26" xr:uid="{6CD5DE3B-7452-4087-98C5-8829EDA02C1A}"/>
    <cellStyle name="Migliaia 20" xfId="27" xr:uid="{70EC185C-AFB0-4966-A39B-0DCB5B0FEDC9}"/>
    <cellStyle name="Migliaia 20 2" xfId="28" xr:uid="{62F96FBD-2CAC-4BF3-BCD8-3FF33558FAAC}"/>
    <cellStyle name="Migliaia 6" xfId="29" xr:uid="{000681D0-920B-4EED-84E5-09D8E9E97780}"/>
    <cellStyle name="Migliaia 7" xfId="30" xr:uid="{92EFB0FA-48FD-4FAF-A600-D749DBDAA3A4}"/>
    <cellStyle name="Migliaia 8" xfId="31" xr:uid="{7D7D930C-CB50-4B17-8EA7-0388798D4E9F}"/>
    <cellStyle name="Migliaia 9" xfId="32" xr:uid="{EEC7157C-ADB5-4C16-BE1A-B3823F609115}"/>
    <cellStyle name="Normal" xfId="0" builtinId="0"/>
    <cellStyle name="Normal 2" xfId="33" xr:uid="{DF66A8D1-DCA6-46B9-B16F-9A72E7908F68}"/>
    <cellStyle name="Normal 4" xfId="49" xr:uid="{47CFB9DB-D31D-4AFB-9D80-00409FDAC78A}"/>
    <cellStyle name="Normale 10" xfId="34" xr:uid="{CD347D02-1762-47D1-A0C0-DD6EF6DECCA2}"/>
    <cellStyle name="Normale 2" xfId="35" xr:uid="{8094B4E5-E3A5-44F8-B668-8FD1E28E8658}"/>
    <cellStyle name="Normale 2 3" xfId="45" xr:uid="{85A6EAD0-F23A-481E-B4FA-08D170757F55}"/>
    <cellStyle name="Normale 3" xfId="36" xr:uid="{D5A0E904-C79A-4A7C-9E96-1C88BD3E6826}"/>
    <cellStyle name="Percentuale 2" xfId="37" xr:uid="{6A5CFE53-0FA3-4B5E-9A61-5B8969C7C12B}"/>
    <cellStyle name="Standard 13" xfId="1" xr:uid="{7821EFF7-85CF-48DB-A782-3D4114D75108}"/>
    <cellStyle name="Valuta 10 2 2" xfId="38" xr:uid="{10DFC2D9-4FE3-47CC-BFCB-DA15EB44DA0E}"/>
    <cellStyle name="Valuta 10 2 2 2" xfId="39" xr:uid="{846C4FD2-02F2-4CCF-8DA9-DF2DE0E0784B}"/>
    <cellStyle name="Valuta 2 10" xfId="40" xr:uid="{4AE46E03-F1AB-48C7-9A91-AD774E961B30}"/>
    <cellStyle name="Valuta 6" xfId="41" xr:uid="{7593CF34-8C55-4B39-9E34-48E4B9FB8DDA}"/>
    <cellStyle name="Valuta 6 2" xfId="42" xr:uid="{98E10863-7294-4BFF-A17C-C07C3C3E9AE1}"/>
    <cellStyle name="Währung 2" xfId="43" xr:uid="{EF6F9224-014A-4853-B585-C9FAD4A6A40B}"/>
    <cellStyle name="常规 5" xfId="44" xr:uid="{7104D6D7-B648-4242-B9B0-DD08565524D3}"/>
    <cellStyle name="常规_Refrigerator HAIER" xfId="46" xr:uid="{8FF72EA9-D390-42F1-BC97-4B8B1B1652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0034-242D-49C0-BE89-40E84D61E957}">
  <dimension ref="A1:U57"/>
  <sheetViews>
    <sheetView tabSelected="1" topLeftCell="E18" zoomScale="105" zoomScaleNormal="100" workbookViewId="0">
      <selection activeCell="F5" sqref="F5"/>
    </sheetView>
  </sheetViews>
  <sheetFormatPr defaultColWidth="11.44140625" defaultRowHeight="14.4" x14ac:dyDescent="0.3"/>
  <cols>
    <col min="1" max="4" width="26.88671875" style="7" customWidth="1"/>
    <col min="5" max="5" width="30.109375" style="7" customWidth="1"/>
    <col min="6" max="6" width="30.109375" style="20" customWidth="1"/>
    <col min="7" max="7" width="30.109375" style="17" customWidth="1"/>
    <col min="8" max="8" width="30.109375" style="7" customWidth="1"/>
    <col min="9" max="9" width="26.88671875" style="13" customWidth="1"/>
    <col min="10" max="22" width="11.109375" customWidth="1"/>
  </cols>
  <sheetData>
    <row r="1" spans="1:21" ht="66.599999999999994" customHeight="1" x14ac:dyDescent="0.3">
      <c r="A1" s="5" t="s">
        <v>75</v>
      </c>
      <c r="B1" s="5" t="s">
        <v>74</v>
      </c>
      <c r="C1" s="5" t="s">
        <v>90</v>
      </c>
      <c r="D1" s="6" t="s">
        <v>0</v>
      </c>
      <c r="E1" s="6" t="s">
        <v>76</v>
      </c>
      <c r="F1" s="18" t="s">
        <v>100</v>
      </c>
      <c r="G1" s="15"/>
      <c r="H1" s="6" t="s">
        <v>98</v>
      </c>
      <c r="I1" s="14" t="s">
        <v>73</v>
      </c>
      <c r="N1" s="1"/>
    </row>
    <row r="2" spans="1:21" x14ac:dyDescent="0.3">
      <c r="A2" s="7" t="s">
        <v>1</v>
      </c>
      <c r="B2" s="7" t="s">
        <v>82</v>
      </c>
      <c r="C2" s="7" t="s">
        <v>95</v>
      </c>
      <c r="D2" s="8">
        <v>37001614</v>
      </c>
      <c r="E2" s="8" t="s">
        <v>2</v>
      </c>
      <c r="F2" s="19">
        <v>178.00800000000001</v>
      </c>
      <c r="G2" s="16">
        <f>ROUND(F2,2)</f>
        <v>178.01</v>
      </c>
      <c r="H2" s="8">
        <v>24</v>
      </c>
      <c r="I2" s="9">
        <v>1</v>
      </c>
      <c r="J2" s="1"/>
      <c r="K2" s="1"/>
      <c r="M2" s="1"/>
    </row>
    <row r="3" spans="1:21" x14ac:dyDescent="0.3">
      <c r="A3" s="7" t="s">
        <v>1</v>
      </c>
      <c r="B3" s="7" t="s">
        <v>82</v>
      </c>
      <c r="C3" s="7" t="s">
        <v>95</v>
      </c>
      <c r="D3" s="8">
        <v>37001627</v>
      </c>
      <c r="E3" s="8" t="s">
        <v>5</v>
      </c>
      <c r="F3" s="19">
        <v>326.34800000000001</v>
      </c>
      <c r="G3" s="16">
        <f t="shared" ref="G3:G57" si="0">ROUND(F3,2)</f>
        <v>326.35000000000002</v>
      </c>
      <c r="H3" s="8">
        <v>24</v>
      </c>
      <c r="I3" s="9">
        <v>1</v>
      </c>
      <c r="J3" s="1"/>
      <c r="M3" s="1"/>
    </row>
    <row r="4" spans="1:21" x14ac:dyDescent="0.3">
      <c r="A4" s="7" t="s">
        <v>1</v>
      </c>
      <c r="B4" s="7" t="s">
        <v>82</v>
      </c>
      <c r="C4" s="7" t="s">
        <v>96</v>
      </c>
      <c r="D4" s="8">
        <v>34005713</v>
      </c>
      <c r="E4" s="8" t="s">
        <v>8</v>
      </c>
      <c r="F4" s="19">
        <v>623.76970000000006</v>
      </c>
      <c r="G4" s="16">
        <f t="shared" si="0"/>
        <v>623.77</v>
      </c>
      <c r="H4" s="8">
        <v>12</v>
      </c>
      <c r="I4" s="9">
        <v>2</v>
      </c>
      <c r="J4" s="1"/>
      <c r="M4" s="1"/>
    </row>
    <row r="5" spans="1:21" x14ac:dyDescent="0.3">
      <c r="A5" s="7" t="s">
        <v>1</v>
      </c>
      <c r="B5" s="7" t="s">
        <v>82</v>
      </c>
      <c r="C5" s="7" t="s">
        <v>96</v>
      </c>
      <c r="D5" s="8">
        <v>34005731</v>
      </c>
      <c r="E5" s="8" t="s">
        <v>12</v>
      </c>
      <c r="F5" s="19">
        <v>630.44500000000005</v>
      </c>
      <c r="G5" s="16">
        <f t="shared" si="0"/>
        <v>630.45000000000005</v>
      </c>
      <c r="H5" s="8">
        <v>12</v>
      </c>
      <c r="I5" s="9">
        <v>2</v>
      </c>
      <c r="J5" s="1"/>
      <c r="M5" s="1"/>
    </row>
    <row r="6" spans="1:21" x14ac:dyDescent="0.3">
      <c r="A6" s="7" t="s">
        <v>1</v>
      </c>
      <c r="B6" s="7" t="s">
        <v>82</v>
      </c>
      <c r="C6" s="7" t="s">
        <v>95</v>
      </c>
      <c r="D6" s="8">
        <v>34005843</v>
      </c>
      <c r="E6" s="8" t="s">
        <v>13</v>
      </c>
      <c r="F6" s="19">
        <v>348.59899999999999</v>
      </c>
      <c r="G6" s="16">
        <f t="shared" si="0"/>
        <v>348.6</v>
      </c>
      <c r="H6" s="8">
        <v>24</v>
      </c>
      <c r="I6" s="9">
        <v>1</v>
      </c>
      <c r="J6" s="1"/>
      <c r="M6" s="1"/>
    </row>
    <row r="7" spans="1:21" x14ac:dyDescent="0.3">
      <c r="A7" s="7" t="s">
        <v>1</v>
      </c>
      <c r="B7" s="7" t="s">
        <v>82</v>
      </c>
      <c r="C7" s="7" t="s">
        <v>95</v>
      </c>
      <c r="D7" s="8">
        <v>34005705</v>
      </c>
      <c r="E7" s="8" t="s">
        <v>14</v>
      </c>
      <c r="F7" s="19">
        <v>852.95500000000004</v>
      </c>
      <c r="G7" s="16">
        <f t="shared" si="0"/>
        <v>852.96</v>
      </c>
      <c r="H7" s="8">
        <v>24</v>
      </c>
      <c r="I7" s="9">
        <v>1</v>
      </c>
      <c r="J7" s="1"/>
      <c r="M7" s="1"/>
    </row>
    <row r="8" spans="1:21" x14ac:dyDescent="0.3">
      <c r="A8" s="7" t="s">
        <v>1</v>
      </c>
      <c r="B8" s="7" t="s">
        <v>82</v>
      </c>
      <c r="C8" s="7" t="s">
        <v>95</v>
      </c>
      <c r="D8" s="8">
        <v>34005708</v>
      </c>
      <c r="E8" s="8" t="s">
        <v>15</v>
      </c>
      <c r="F8" s="19">
        <v>778.78500000000008</v>
      </c>
      <c r="G8" s="16">
        <f t="shared" si="0"/>
        <v>778.79</v>
      </c>
      <c r="H8" s="8">
        <v>24</v>
      </c>
      <c r="I8" s="9">
        <v>1</v>
      </c>
      <c r="J8" s="1"/>
      <c r="M8" s="1"/>
    </row>
    <row r="9" spans="1:21" ht="14.25" customHeight="1" x14ac:dyDescent="0.3">
      <c r="A9" s="7" t="s">
        <v>1</v>
      </c>
      <c r="B9" s="7" t="s">
        <v>82</v>
      </c>
      <c r="C9" s="7" t="s">
        <v>96</v>
      </c>
      <c r="D9" s="8">
        <v>37001606</v>
      </c>
      <c r="E9" s="8" t="s">
        <v>16</v>
      </c>
      <c r="F9" s="19">
        <v>259.59500000000003</v>
      </c>
      <c r="G9" s="16">
        <f t="shared" si="0"/>
        <v>259.60000000000002</v>
      </c>
      <c r="H9" s="8">
        <v>12</v>
      </c>
      <c r="I9" s="9">
        <v>2</v>
      </c>
      <c r="J9" s="1"/>
      <c r="M9" s="1"/>
      <c r="P9" s="2"/>
      <c r="Q9" s="2"/>
      <c r="R9" s="4"/>
      <c r="S9" s="2"/>
      <c r="T9" s="2"/>
      <c r="U9" s="4"/>
    </row>
    <row r="10" spans="1:21" x14ac:dyDescent="0.3">
      <c r="A10" s="7" t="s">
        <v>1</v>
      </c>
      <c r="B10" s="7" t="s">
        <v>82</v>
      </c>
      <c r="C10" s="7" t="s">
        <v>96</v>
      </c>
      <c r="D10" s="8">
        <v>37001607</v>
      </c>
      <c r="E10" s="8" t="s">
        <v>17</v>
      </c>
      <c r="F10" s="19">
        <v>296.68</v>
      </c>
      <c r="G10" s="16">
        <f t="shared" si="0"/>
        <v>296.68</v>
      </c>
      <c r="H10" s="8">
        <v>12</v>
      </c>
      <c r="I10" s="9">
        <v>2</v>
      </c>
      <c r="J10" s="1"/>
      <c r="M10" s="1"/>
    </row>
    <row r="11" spans="1:21" x14ac:dyDescent="0.3">
      <c r="A11" s="7" t="s">
        <v>1</v>
      </c>
      <c r="B11" s="7" t="s">
        <v>82</v>
      </c>
      <c r="C11" s="7" t="s">
        <v>96</v>
      </c>
      <c r="D11" s="8">
        <v>37001609</v>
      </c>
      <c r="E11" s="8" t="s">
        <v>18</v>
      </c>
      <c r="F11" s="19">
        <v>348.59899999999999</v>
      </c>
      <c r="G11" s="16">
        <f t="shared" si="0"/>
        <v>348.6</v>
      </c>
      <c r="H11" s="8">
        <v>12</v>
      </c>
      <c r="I11" s="9">
        <v>2</v>
      </c>
      <c r="J11" s="1"/>
      <c r="M11" s="1"/>
    </row>
    <row r="12" spans="1:21" x14ac:dyDescent="0.3">
      <c r="A12" s="7" t="s">
        <v>1</v>
      </c>
      <c r="B12" s="7" t="s">
        <v>82</v>
      </c>
      <c r="C12" s="7" t="s">
        <v>96</v>
      </c>
      <c r="D12" s="8">
        <v>37001610</v>
      </c>
      <c r="E12" s="8" t="s">
        <v>19</v>
      </c>
      <c r="F12" s="19">
        <v>430.18600000000004</v>
      </c>
      <c r="G12" s="16">
        <f t="shared" si="0"/>
        <v>430.19</v>
      </c>
      <c r="H12" s="8">
        <v>12</v>
      </c>
      <c r="I12" s="9">
        <v>2</v>
      </c>
      <c r="J12" s="1"/>
      <c r="M12" s="1"/>
      <c r="P12" s="3"/>
      <c r="Q12" s="3"/>
    </row>
    <row r="13" spans="1:21" x14ac:dyDescent="0.3">
      <c r="A13" s="7" t="s">
        <v>1</v>
      </c>
      <c r="B13" s="7" t="s">
        <v>82</v>
      </c>
      <c r="C13" s="7" t="s">
        <v>96</v>
      </c>
      <c r="D13" s="8">
        <v>34004290</v>
      </c>
      <c r="E13" s="8" t="s">
        <v>20</v>
      </c>
      <c r="F13" s="19">
        <v>419.06049999999999</v>
      </c>
      <c r="G13" s="16">
        <f t="shared" si="0"/>
        <v>419.06</v>
      </c>
      <c r="H13" s="8">
        <v>12</v>
      </c>
      <c r="I13" s="9">
        <v>2</v>
      </c>
      <c r="J13" s="1"/>
      <c r="M13" s="1"/>
    </row>
    <row r="14" spans="1:21" x14ac:dyDescent="0.3">
      <c r="A14" s="7" t="s">
        <v>1</v>
      </c>
      <c r="B14" s="7" t="s">
        <v>82</v>
      </c>
      <c r="C14" s="7" t="s">
        <v>96</v>
      </c>
      <c r="D14" s="8">
        <v>34005568</v>
      </c>
      <c r="E14" s="8" t="s">
        <v>21</v>
      </c>
      <c r="F14" s="19">
        <v>267.012</v>
      </c>
      <c r="G14" s="16">
        <f t="shared" si="0"/>
        <v>267.01</v>
      </c>
      <c r="H14" s="8">
        <v>12</v>
      </c>
      <c r="I14" s="9">
        <v>2</v>
      </c>
      <c r="J14" s="1"/>
      <c r="M14" s="1"/>
    </row>
    <row r="15" spans="1:21" x14ac:dyDescent="0.3">
      <c r="A15" s="7" t="s">
        <v>1</v>
      </c>
      <c r="B15" s="7" t="s">
        <v>82</v>
      </c>
      <c r="C15" s="7" t="s">
        <v>95</v>
      </c>
      <c r="D15" s="8">
        <v>37001737</v>
      </c>
      <c r="E15" s="8" t="s">
        <v>22</v>
      </c>
      <c r="F15" s="19">
        <v>259.59500000000003</v>
      </c>
      <c r="G15" s="16">
        <f t="shared" si="0"/>
        <v>259.60000000000002</v>
      </c>
      <c r="H15" s="8">
        <v>24</v>
      </c>
      <c r="I15" s="9">
        <v>1</v>
      </c>
      <c r="J15" s="1"/>
      <c r="M15" s="1"/>
    </row>
    <row r="16" spans="1:21" x14ac:dyDescent="0.3">
      <c r="A16" s="7" t="s">
        <v>1</v>
      </c>
      <c r="B16" s="7" t="s">
        <v>82</v>
      </c>
      <c r="C16" s="7" t="s">
        <v>95</v>
      </c>
      <c r="D16" s="8">
        <v>34005943</v>
      </c>
      <c r="E16" s="8" t="s">
        <v>23</v>
      </c>
      <c r="F16" s="19">
        <v>793.61900000000003</v>
      </c>
      <c r="G16" s="16">
        <f t="shared" si="0"/>
        <v>793.62</v>
      </c>
      <c r="H16" s="8">
        <v>24</v>
      </c>
      <c r="I16" s="9">
        <v>1</v>
      </c>
      <c r="J16" s="1"/>
      <c r="M16" s="1"/>
    </row>
    <row r="17" spans="1:13" x14ac:dyDescent="0.3">
      <c r="A17" s="7" t="s">
        <v>1</v>
      </c>
      <c r="B17" s="7" t="s">
        <v>82</v>
      </c>
      <c r="C17" s="7" t="s">
        <v>96</v>
      </c>
      <c r="D17" s="8">
        <v>37001683</v>
      </c>
      <c r="E17" s="8" t="s">
        <v>24</v>
      </c>
      <c r="F17" s="19">
        <v>615.61099999999999</v>
      </c>
      <c r="G17" s="16">
        <f t="shared" si="0"/>
        <v>615.61</v>
      </c>
      <c r="H17" s="8">
        <v>12</v>
      </c>
      <c r="I17" s="9">
        <v>2</v>
      </c>
      <c r="J17" s="1"/>
      <c r="M17" s="1"/>
    </row>
    <row r="18" spans="1:13" x14ac:dyDescent="0.3">
      <c r="A18" s="7" t="s">
        <v>1</v>
      </c>
      <c r="B18" s="7" t="s">
        <v>82</v>
      </c>
      <c r="C18" s="7" t="s">
        <v>96</v>
      </c>
      <c r="D18" s="8">
        <v>34005861</v>
      </c>
      <c r="E18" s="8" t="s">
        <v>25</v>
      </c>
      <c r="F18" s="19">
        <v>452.43700000000001</v>
      </c>
      <c r="G18" s="16">
        <f t="shared" si="0"/>
        <v>452.44</v>
      </c>
      <c r="H18" s="8">
        <v>12</v>
      </c>
      <c r="I18" s="9">
        <v>2</v>
      </c>
      <c r="J18" s="1"/>
      <c r="M18" s="1"/>
    </row>
    <row r="19" spans="1:13" x14ac:dyDescent="0.3">
      <c r="A19" s="7" t="s">
        <v>1</v>
      </c>
      <c r="B19" s="7" t="s">
        <v>82</v>
      </c>
      <c r="C19" s="7" t="s">
        <v>95</v>
      </c>
      <c r="D19" s="8">
        <v>34005971</v>
      </c>
      <c r="E19" s="8" t="s">
        <v>26</v>
      </c>
      <c r="F19" s="19">
        <v>964.21</v>
      </c>
      <c r="G19" s="16">
        <f t="shared" si="0"/>
        <v>964.21</v>
      </c>
      <c r="H19" s="8">
        <v>24</v>
      </c>
      <c r="I19" s="9">
        <v>1</v>
      </c>
      <c r="J19" s="1"/>
      <c r="M19" s="1"/>
    </row>
    <row r="20" spans="1:13" x14ac:dyDescent="0.3">
      <c r="A20" s="7" t="s">
        <v>1</v>
      </c>
      <c r="B20" s="7" t="s">
        <v>82</v>
      </c>
      <c r="C20" s="7" t="s">
        <v>96</v>
      </c>
      <c r="D20" s="8">
        <v>34006051</v>
      </c>
      <c r="E20" s="8" t="s">
        <v>27</v>
      </c>
      <c r="F20" s="19">
        <v>496.93900000000002</v>
      </c>
      <c r="G20" s="16">
        <f t="shared" si="0"/>
        <v>496.94</v>
      </c>
      <c r="H20" s="8">
        <v>12</v>
      </c>
      <c r="I20" s="9">
        <v>2</v>
      </c>
      <c r="J20" s="1"/>
      <c r="M20" s="1"/>
    </row>
    <row r="21" spans="1:13" x14ac:dyDescent="0.3">
      <c r="A21" s="7" t="s">
        <v>1</v>
      </c>
      <c r="B21" s="7" t="s">
        <v>82</v>
      </c>
      <c r="C21" s="7" t="s">
        <v>96</v>
      </c>
      <c r="D21" s="8">
        <v>34006117</v>
      </c>
      <c r="E21" s="8" t="s">
        <v>28</v>
      </c>
      <c r="F21" s="19">
        <v>281.846</v>
      </c>
      <c r="G21" s="16">
        <f t="shared" si="0"/>
        <v>281.85000000000002</v>
      </c>
      <c r="H21" s="8">
        <v>12</v>
      </c>
      <c r="I21" s="9">
        <v>2</v>
      </c>
      <c r="J21" s="1"/>
      <c r="M21" s="1"/>
    </row>
    <row r="22" spans="1:13" x14ac:dyDescent="0.3">
      <c r="A22" s="7" t="s">
        <v>1</v>
      </c>
      <c r="B22" s="7" t="s">
        <v>82</v>
      </c>
      <c r="C22" s="7" t="s">
        <v>95</v>
      </c>
      <c r="D22" s="8">
        <v>34006058</v>
      </c>
      <c r="E22" s="8" t="s">
        <v>29</v>
      </c>
      <c r="F22" s="19">
        <v>459.85400000000004</v>
      </c>
      <c r="G22" s="16">
        <f t="shared" si="0"/>
        <v>459.85</v>
      </c>
      <c r="H22" s="8">
        <v>24</v>
      </c>
      <c r="I22" s="9">
        <v>1</v>
      </c>
      <c r="J22" s="1"/>
      <c r="M22" s="1"/>
    </row>
    <row r="23" spans="1:13" x14ac:dyDescent="0.3">
      <c r="A23" s="7" t="s">
        <v>1</v>
      </c>
      <c r="B23" s="7" t="s">
        <v>82</v>
      </c>
      <c r="C23" s="7" t="s">
        <v>95</v>
      </c>
      <c r="D23" s="8">
        <v>34006220</v>
      </c>
      <c r="E23" s="8" t="s">
        <v>30</v>
      </c>
      <c r="F23" s="19">
        <v>593.36</v>
      </c>
      <c r="G23" s="16">
        <f t="shared" si="0"/>
        <v>593.36</v>
      </c>
      <c r="H23" s="8">
        <v>24</v>
      </c>
      <c r="I23" s="9">
        <v>1</v>
      </c>
      <c r="J23" s="1"/>
      <c r="M23" s="1"/>
    </row>
    <row r="24" spans="1:13" x14ac:dyDescent="0.3">
      <c r="A24" s="7" t="s">
        <v>31</v>
      </c>
      <c r="B24" s="7" t="s">
        <v>81</v>
      </c>
      <c r="C24" s="7" t="s">
        <v>94</v>
      </c>
      <c r="D24" s="8">
        <v>34901580</v>
      </c>
      <c r="E24" s="8" t="s">
        <v>32</v>
      </c>
      <c r="F24" s="19">
        <v>692.65</v>
      </c>
      <c r="G24" s="16">
        <f t="shared" si="0"/>
        <v>692.65</v>
      </c>
      <c r="H24" s="8">
        <v>12</v>
      </c>
      <c r="I24" s="10">
        <v>2</v>
      </c>
      <c r="J24" s="1"/>
    </row>
    <row r="25" spans="1:13" x14ac:dyDescent="0.3">
      <c r="A25" s="7" t="s">
        <v>31</v>
      </c>
      <c r="B25" s="7" t="s">
        <v>81</v>
      </c>
      <c r="C25" s="7" t="s">
        <v>94</v>
      </c>
      <c r="D25" s="8">
        <v>34901646</v>
      </c>
      <c r="E25" s="8" t="s">
        <v>33</v>
      </c>
      <c r="F25" s="19">
        <v>629.62</v>
      </c>
      <c r="G25" s="16">
        <f t="shared" si="0"/>
        <v>629.62</v>
      </c>
      <c r="H25" s="8">
        <v>12</v>
      </c>
      <c r="I25" s="11">
        <v>2</v>
      </c>
      <c r="J25" s="1"/>
    </row>
    <row r="26" spans="1:13" x14ac:dyDescent="0.3">
      <c r="A26" s="7" t="s">
        <v>31</v>
      </c>
      <c r="B26" s="7" t="s">
        <v>81</v>
      </c>
      <c r="C26" s="7" t="s">
        <v>94</v>
      </c>
      <c r="D26" s="8">
        <v>34901708</v>
      </c>
      <c r="E26" s="1" t="s">
        <v>79</v>
      </c>
      <c r="F26" s="19">
        <v>1070.8</v>
      </c>
      <c r="G26" s="16">
        <f t="shared" si="0"/>
        <v>1070.8</v>
      </c>
      <c r="H26" s="8">
        <v>12</v>
      </c>
      <c r="I26" s="11">
        <v>2</v>
      </c>
      <c r="J26" s="1"/>
    </row>
    <row r="27" spans="1:13" x14ac:dyDescent="0.3">
      <c r="A27" s="7" t="s">
        <v>31</v>
      </c>
      <c r="B27" s="7" t="s">
        <v>81</v>
      </c>
      <c r="C27" s="7" t="s">
        <v>94</v>
      </c>
      <c r="D27" s="8">
        <v>34901709</v>
      </c>
      <c r="E27" s="1" t="s">
        <v>80</v>
      </c>
      <c r="F27" s="19">
        <v>1890.13</v>
      </c>
      <c r="G27" s="16">
        <f t="shared" si="0"/>
        <v>1890.13</v>
      </c>
      <c r="H27" s="8">
        <v>12</v>
      </c>
      <c r="I27" s="11">
        <v>2</v>
      </c>
      <c r="J27" s="1"/>
    </row>
    <row r="28" spans="1:13" x14ac:dyDescent="0.3">
      <c r="A28" s="7" t="s">
        <v>31</v>
      </c>
      <c r="B28" s="7" t="s">
        <v>81</v>
      </c>
      <c r="C28" s="7" t="s">
        <v>94</v>
      </c>
      <c r="D28" s="8">
        <v>34901564</v>
      </c>
      <c r="E28" s="8" t="s">
        <v>34</v>
      </c>
      <c r="F28" s="19">
        <v>472.06</v>
      </c>
      <c r="G28" s="16">
        <f t="shared" si="0"/>
        <v>472.06</v>
      </c>
      <c r="H28" s="8">
        <v>12</v>
      </c>
      <c r="I28" s="10">
        <v>2</v>
      </c>
      <c r="J28" s="1"/>
    </row>
    <row r="29" spans="1:13" x14ac:dyDescent="0.3">
      <c r="A29" s="7" t="s">
        <v>35</v>
      </c>
      <c r="B29" s="7" t="s">
        <v>7</v>
      </c>
      <c r="C29" s="7" t="s">
        <v>92</v>
      </c>
      <c r="D29" s="8">
        <v>33703946</v>
      </c>
      <c r="E29" s="8" t="s">
        <v>36</v>
      </c>
      <c r="F29" s="19">
        <v>755.67</v>
      </c>
      <c r="G29" s="16">
        <f t="shared" si="0"/>
        <v>755.67</v>
      </c>
      <c r="H29" s="8">
        <v>4</v>
      </c>
      <c r="I29" s="11">
        <v>6</v>
      </c>
      <c r="J29" s="1"/>
      <c r="K29" s="1"/>
    </row>
    <row r="30" spans="1:13" x14ac:dyDescent="0.3">
      <c r="A30" s="7" t="s">
        <v>35</v>
      </c>
      <c r="B30" s="7" t="s">
        <v>7</v>
      </c>
      <c r="C30" s="7" t="s">
        <v>92</v>
      </c>
      <c r="D30" s="8">
        <v>33703941</v>
      </c>
      <c r="E30" s="8" t="s">
        <v>37</v>
      </c>
      <c r="F30" s="19">
        <v>646.41</v>
      </c>
      <c r="G30" s="16">
        <f t="shared" si="0"/>
        <v>646.41</v>
      </c>
      <c r="H30" s="8">
        <v>4</v>
      </c>
      <c r="I30" s="11">
        <v>6</v>
      </c>
      <c r="J30" s="1"/>
      <c r="K30" s="1"/>
    </row>
    <row r="31" spans="1:13" x14ac:dyDescent="0.3">
      <c r="A31" s="7" t="s">
        <v>35</v>
      </c>
      <c r="B31" s="7" t="s">
        <v>7</v>
      </c>
      <c r="C31" s="7" t="s">
        <v>92</v>
      </c>
      <c r="D31" s="8">
        <v>33704273</v>
      </c>
      <c r="E31" s="8" t="s">
        <v>38</v>
      </c>
      <c r="F31" s="19">
        <v>261.52999999999997</v>
      </c>
      <c r="G31" s="16">
        <f t="shared" si="0"/>
        <v>261.52999999999997</v>
      </c>
      <c r="H31" s="8">
        <v>4</v>
      </c>
      <c r="I31" s="11">
        <v>6</v>
      </c>
      <c r="J31" s="1"/>
      <c r="K31" s="1"/>
    </row>
    <row r="32" spans="1:13" x14ac:dyDescent="0.3">
      <c r="A32" s="7" t="s">
        <v>35</v>
      </c>
      <c r="B32" s="7" t="s">
        <v>7</v>
      </c>
      <c r="C32" s="7" t="s">
        <v>92</v>
      </c>
      <c r="D32" s="8">
        <v>33703792</v>
      </c>
      <c r="E32" s="8" t="s">
        <v>39</v>
      </c>
      <c r="F32" s="19">
        <v>314.5</v>
      </c>
      <c r="G32" s="16">
        <f t="shared" si="0"/>
        <v>314.5</v>
      </c>
      <c r="H32" s="8">
        <v>4</v>
      </c>
      <c r="I32" s="11">
        <v>6</v>
      </c>
      <c r="J32" s="1"/>
      <c r="K32" s="1"/>
    </row>
    <row r="33" spans="1:11" x14ac:dyDescent="0.3">
      <c r="A33" s="7" t="s">
        <v>77</v>
      </c>
      <c r="B33" s="7" t="s">
        <v>10</v>
      </c>
      <c r="C33" s="7" t="s">
        <v>97</v>
      </c>
      <c r="D33" s="8">
        <v>33803608</v>
      </c>
      <c r="E33" s="8" t="s">
        <v>40</v>
      </c>
      <c r="F33" s="19">
        <v>188.45</v>
      </c>
      <c r="G33" s="16">
        <f t="shared" si="0"/>
        <v>188.45</v>
      </c>
      <c r="H33" s="8">
        <v>1</v>
      </c>
      <c r="I33" s="11">
        <v>24</v>
      </c>
      <c r="J33" s="1"/>
      <c r="K33" s="1"/>
    </row>
    <row r="34" spans="1:11" x14ac:dyDescent="0.3">
      <c r="A34" s="7" t="s">
        <v>77</v>
      </c>
      <c r="B34" s="7" t="s">
        <v>11</v>
      </c>
      <c r="C34" s="7" t="s">
        <v>99</v>
      </c>
      <c r="D34" s="8">
        <v>33803399</v>
      </c>
      <c r="E34" s="8" t="s">
        <v>41</v>
      </c>
      <c r="F34" s="19">
        <v>377.52</v>
      </c>
      <c r="G34" s="16">
        <f t="shared" si="0"/>
        <v>377.52</v>
      </c>
      <c r="H34" s="8">
        <v>4</v>
      </c>
      <c r="I34" s="11">
        <v>6</v>
      </c>
      <c r="J34" s="1"/>
      <c r="K34" s="1"/>
    </row>
    <row r="35" spans="1:11" x14ac:dyDescent="0.3">
      <c r="A35" s="7" t="s">
        <v>42</v>
      </c>
      <c r="B35" s="7" t="s">
        <v>4</v>
      </c>
      <c r="C35" s="7" t="s">
        <v>93</v>
      </c>
      <c r="D35" s="8">
        <v>32901822</v>
      </c>
      <c r="E35" s="8" t="s">
        <v>43</v>
      </c>
      <c r="F35" s="19">
        <v>724.16</v>
      </c>
      <c r="G35" s="16">
        <f t="shared" si="0"/>
        <v>724.16</v>
      </c>
      <c r="H35" s="8">
        <v>6</v>
      </c>
      <c r="I35" s="10">
        <v>4</v>
      </c>
      <c r="J35" s="1"/>
      <c r="K35" s="1"/>
    </row>
    <row r="36" spans="1:11" x14ac:dyDescent="0.3">
      <c r="A36" s="7" t="s">
        <v>42</v>
      </c>
      <c r="B36" s="7" t="s">
        <v>4</v>
      </c>
      <c r="C36" s="7" t="s">
        <v>93</v>
      </c>
      <c r="D36" s="8">
        <v>32901835</v>
      </c>
      <c r="E36" s="8" t="s">
        <v>44</v>
      </c>
      <c r="F36" s="19">
        <v>392.62</v>
      </c>
      <c r="G36" s="16">
        <f t="shared" si="0"/>
        <v>392.62</v>
      </c>
      <c r="H36" s="8">
        <v>6</v>
      </c>
      <c r="I36" s="10">
        <v>4</v>
      </c>
      <c r="J36" s="1"/>
      <c r="K36" s="1"/>
    </row>
    <row r="37" spans="1:11" x14ac:dyDescent="0.3">
      <c r="A37" s="7" t="s">
        <v>42</v>
      </c>
      <c r="B37" s="7" t="s">
        <v>4</v>
      </c>
      <c r="C37" s="7" t="s">
        <v>93</v>
      </c>
      <c r="D37" s="8">
        <v>32002677</v>
      </c>
      <c r="E37" s="8" t="s">
        <v>45</v>
      </c>
      <c r="F37" s="19">
        <v>311.35000000000002</v>
      </c>
      <c r="G37" s="16">
        <f t="shared" si="0"/>
        <v>311.35000000000002</v>
      </c>
      <c r="H37" s="8">
        <v>6</v>
      </c>
      <c r="I37" s="10">
        <v>4</v>
      </c>
      <c r="J37" s="1"/>
      <c r="K37" s="1"/>
    </row>
    <row r="38" spans="1:11" x14ac:dyDescent="0.3">
      <c r="A38" s="7" t="s">
        <v>42</v>
      </c>
      <c r="B38" s="7" t="s">
        <v>4</v>
      </c>
      <c r="C38" s="7" t="s">
        <v>93</v>
      </c>
      <c r="D38" s="8">
        <v>32901914</v>
      </c>
      <c r="E38" s="8" t="s">
        <v>46</v>
      </c>
      <c r="F38" s="19">
        <v>307.41000000000003</v>
      </c>
      <c r="G38" s="16">
        <f t="shared" si="0"/>
        <v>307.41000000000003</v>
      </c>
      <c r="H38" s="8">
        <v>6</v>
      </c>
      <c r="I38" s="10">
        <v>4</v>
      </c>
      <c r="J38" s="1"/>
      <c r="K38" s="1"/>
    </row>
    <row r="39" spans="1:11" x14ac:dyDescent="0.3">
      <c r="A39" s="7" t="s">
        <v>47</v>
      </c>
      <c r="B39" s="7" t="s">
        <v>3</v>
      </c>
      <c r="C39" s="7" t="s">
        <v>91</v>
      </c>
      <c r="D39" s="7">
        <v>31021286</v>
      </c>
      <c r="E39" s="7" t="s">
        <v>48</v>
      </c>
      <c r="F39" s="19">
        <v>225</v>
      </c>
      <c r="G39" s="16">
        <f t="shared" si="0"/>
        <v>225</v>
      </c>
      <c r="H39" s="8">
        <v>6</v>
      </c>
      <c r="I39" s="12">
        <v>4</v>
      </c>
      <c r="K39" s="1"/>
    </row>
    <row r="40" spans="1:11" x14ac:dyDescent="0.3">
      <c r="A40" s="7" t="s">
        <v>47</v>
      </c>
      <c r="B40" s="7" t="s">
        <v>3</v>
      </c>
      <c r="C40" s="7" t="s">
        <v>91</v>
      </c>
      <c r="D40" s="7">
        <v>31021444</v>
      </c>
      <c r="E40" s="7" t="s">
        <v>49</v>
      </c>
      <c r="F40" s="19">
        <v>239</v>
      </c>
      <c r="G40" s="16">
        <f t="shared" si="0"/>
        <v>239</v>
      </c>
      <c r="H40" s="8">
        <v>6</v>
      </c>
      <c r="I40" s="12">
        <v>4</v>
      </c>
      <c r="K40" s="1"/>
    </row>
    <row r="41" spans="1:11" x14ac:dyDescent="0.3">
      <c r="A41" s="7" t="s">
        <v>47</v>
      </c>
      <c r="B41" s="7" t="s">
        <v>3</v>
      </c>
      <c r="C41" s="7" t="s">
        <v>91</v>
      </c>
      <c r="D41" s="7">
        <v>31021288</v>
      </c>
      <c r="E41" s="7" t="s">
        <v>50</v>
      </c>
      <c r="F41" s="19">
        <v>289</v>
      </c>
      <c r="G41" s="16">
        <f t="shared" si="0"/>
        <v>289</v>
      </c>
      <c r="H41" s="8">
        <v>6</v>
      </c>
      <c r="I41" s="12">
        <v>4</v>
      </c>
      <c r="K41" s="1"/>
    </row>
    <row r="42" spans="1:11" x14ac:dyDescent="0.3">
      <c r="A42" s="7" t="s">
        <v>47</v>
      </c>
      <c r="B42" s="7" t="s">
        <v>3</v>
      </c>
      <c r="C42" s="7" t="s">
        <v>91</v>
      </c>
      <c r="D42" s="7">
        <v>31021290</v>
      </c>
      <c r="E42" s="7" t="s">
        <v>51</v>
      </c>
      <c r="F42" s="19">
        <v>297</v>
      </c>
      <c r="G42" s="16">
        <f t="shared" si="0"/>
        <v>297</v>
      </c>
      <c r="H42" s="8">
        <v>6</v>
      </c>
      <c r="I42" s="12">
        <v>4</v>
      </c>
      <c r="K42" s="1"/>
    </row>
    <row r="43" spans="1:11" x14ac:dyDescent="0.3">
      <c r="A43" s="7" t="s">
        <v>47</v>
      </c>
      <c r="B43" s="7" t="s">
        <v>3</v>
      </c>
      <c r="C43" s="7" t="s">
        <v>91</v>
      </c>
      <c r="D43" s="7">
        <v>31021291</v>
      </c>
      <c r="E43" s="7" t="s">
        <v>52</v>
      </c>
      <c r="F43" s="19">
        <v>309</v>
      </c>
      <c r="G43" s="16">
        <f t="shared" si="0"/>
        <v>309</v>
      </c>
      <c r="H43" s="8">
        <v>6</v>
      </c>
      <c r="I43" s="12">
        <v>4</v>
      </c>
      <c r="K43" s="1"/>
    </row>
    <row r="44" spans="1:11" x14ac:dyDescent="0.3">
      <c r="A44" s="7" t="s">
        <v>47</v>
      </c>
      <c r="B44" s="7" t="s">
        <v>3</v>
      </c>
      <c r="C44" s="7" t="s">
        <v>91</v>
      </c>
      <c r="D44" s="7">
        <v>31021294</v>
      </c>
      <c r="E44" s="7" t="s">
        <v>53</v>
      </c>
      <c r="F44" s="19">
        <v>375</v>
      </c>
      <c r="G44" s="16">
        <f t="shared" si="0"/>
        <v>375</v>
      </c>
      <c r="H44" s="8">
        <v>6</v>
      </c>
      <c r="I44" s="12">
        <v>4</v>
      </c>
      <c r="K44" s="1"/>
    </row>
    <row r="45" spans="1:11" x14ac:dyDescent="0.3">
      <c r="A45" s="7" t="s">
        <v>47</v>
      </c>
      <c r="B45" s="7" t="s">
        <v>3</v>
      </c>
      <c r="C45" s="7" t="s">
        <v>91</v>
      </c>
      <c r="D45" s="7">
        <v>31021295</v>
      </c>
      <c r="E45" s="7" t="s">
        <v>54</v>
      </c>
      <c r="F45" s="19">
        <v>399</v>
      </c>
      <c r="G45" s="16">
        <f t="shared" si="0"/>
        <v>399</v>
      </c>
      <c r="H45" s="8">
        <v>6</v>
      </c>
      <c r="I45" s="12">
        <v>4</v>
      </c>
      <c r="K45" s="1"/>
    </row>
    <row r="46" spans="1:11" x14ac:dyDescent="0.3">
      <c r="A46" s="7" t="s">
        <v>47</v>
      </c>
      <c r="B46" s="7" t="s">
        <v>3</v>
      </c>
      <c r="C46" s="7" t="s">
        <v>91</v>
      </c>
      <c r="D46" s="7">
        <v>31021298</v>
      </c>
      <c r="E46" s="7" t="s">
        <v>55</v>
      </c>
      <c r="F46" s="19">
        <v>582</v>
      </c>
      <c r="G46" s="16">
        <f t="shared" si="0"/>
        <v>582</v>
      </c>
      <c r="H46" s="8">
        <v>6</v>
      </c>
      <c r="I46" s="12">
        <v>4</v>
      </c>
      <c r="K46" s="1"/>
    </row>
    <row r="47" spans="1:11" x14ac:dyDescent="0.3">
      <c r="A47" s="7" t="s">
        <v>47</v>
      </c>
      <c r="B47" s="7" t="s">
        <v>9</v>
      </c>
      <c r="C47" s="7" t="s">
        <v>91</v>
      </c>
      <c r="D47" s="7">
        <v>31021296</v>
      </c>
      <c r="E47" s="7" t="s">
        <v>56</v>
      </c>
      <c r="F47" s="19">
        <v>323</v>
      </c>
      <c r="G47" s="16">
        <f t="shared" si="0"/>
        <v>323</v>
      </c>
      <c r="H47" s="8">
        <v>6</v>
      </c>
      <c r="I47" s="12">
        <v>4</v>
      </c>
      <c r="K47" s="1"/>
    </row>
    <row r="48" spans="1:11" x14ac:dyDescent="0.3">
      <c r="A48" s="7" t="s">
        <v>47</v>
      </c>
      <c r="B48" s="7" t="s">
        <v>9</v>
      </c>
      <c r="C48" s="7" t="s">
        <v>91</v>
      </c>
      <c r="D48" s="7">
        <v>31021299</v>
      </c>
      <c r="E48" s="7" t="s">
        <v>57</v>
      </c>
      <c r="F48" s="19">
        <v>407</v>
      </c>
      <c r="G48" s="16">
        <f t="shared" si="0"/>
        <v>407</v>
      </c>
      <c r="H48" s="8">
        <v>6</v>
      </c>
      <c r="I48" s="12">
        <v>4</v>
      </c>
      <c r="K48" s="1"/>
    </row>
    <row r="49" spans="1:11" x14ac:dyDescent="0.3">
      <c r="A49" s="7" t="s">
        <v>47</v>
      </c>
      <c r="B49" s="7" t="s">
        <v>6</v>
      </c>
      <c r="C49" s="7" t="s">
        <v>91</v>
      </c>
      <c r="D49" s="7">
        <v>31103164</v>
      </c>
      <c r="E49" s="7" t="s">
        <v>58</v>
      </c>
      <c r="F49" s="19">
        <v>329</v>
      </c>
      <c r="G49" s="16">
        <f t="shared" si="0"/>
        <v>329</v>
      </c>
      <c r="H49" s="8">
        <v>6</v>
      </c>
      <c r="I49" s="12">
        <v>4</v>
      </c>
      <c r="K49" s="1"/>
    </row>
    <row r="50" spans="1:11" x14ac:dyDescent="0.3">
      <c r="A50" s="7" t="s">
        <v>47</v>
      </c>
      <c r="B50" s="7" t="s">
        <v>6</v>
      </c>
      <c r="C50" s="7" t="s">
        <v>91</v>
      </c>
      <c r="D50" s="7">
        <v>31103162</v>
      </c>
      <c r="E50" s="7" t="s">
        <v>59</v>
      </c>
      <c r="F50" s="19">
        <v>335</v>
      </c>
      <c r="G50" s="16">
        <f t="shared" si="0"/>
        <v>335</v>
      </c>
      <c r="H50" s="8">
        <v>6</v>
      </c>
      <c r="I50" s="12">
        <v>4</v>
      </c>
      <c r="K50" s="1"/>
    </row>
    <row r="51" spans="1:11" x14ac:dyDescent="0.3">
      <c r="A51" s="7" t="s">
        <v>47</v>
      </c>
      <c r="B51" s="7" t="s">
        <v>6</v>
      </c>
      <c r="C51" s="7" t="s">
        <v>91</v>
      </c>
      <c r="D51" s="7">
        <v>31103166</v>
      </c>
      <c r="E51" s="7" t="s">
        <v>60</v>
      </c>
      <c r="F51" s="19">
        <v>428</v>
      </c>
      <c r="G51" s="16">
        <f t="shared" si="0"/>
        <v>428</v>
      </c>
      <c r="H51" s="8">
        <v>6</v>
      </c>
      <c r="I51" s="12">
        <v>4</v>
      </c>
      <c r="K51" s="1"/>
    </row>
    <row r="52" spans="1:11" x14ac:dyDescent="0.3">
      <c r="A52" s="7" t="s">
        <v>47</v>
      </c>
      <c r="B52" s="7" t="s">
        <v>6</v>
      </c>
      <c r="C52" s="7" t="s">
        <v>91</v>
      </c>
      <c r="D52" s="7">
        <v>31103163</v>
      </c>
      <c r="E52" s="7" t="s">
        <v>61</v>
      </c>
      <c r="F52" s="19">
        <v>472</v>
      </c>
      <c r="G52" s="16">
        <f t="shared" si="0"/>
        <v>472</v>
      </c>
      <c r="H52" s="8">
        <v>6</v>
      </c>
      <c r="I52" s="12">
        <v>4</v>
      </c>
      <c r="K52" s="1"/>
    </row>
    <row r="53" spans="1:11" x14ac:dyDescent="0.3">
      <c r="A53" s="7" t="s">
        <v>47</v>
      </c>
      <c r="B53" s="7" t="s">
        <v>3</v>
      </c>
      <c r="C53" s="7">
        <v>8888</v>
      </c>
      <c r="D53" s="7">
        <v>31021468</v>
      </c>
      <c r="E53" s="7" t="s">
        <v>62</v>
      </c>
      <c r="F53" s="19">
        <v>646</v>
      </c>
      <c r="G53" s="16">
        <f t="shared" si="0"/>
        <v>646</v>
      </c>
      <c r="H53" s="7">
        <v>12</v>
      </c>
      <c r="I53" s="12">
        <v>2</v>
      </c>
      <c r="K53" s="1"/>
    </row>
    <row r="54" spans="1:11" x14ac:dyDescent="0.3">
      <c r="A54" s="7" t="s">
        <v>47</v>
      </c>
      <c r="B54" s="7" t="s">
        <v>3</v>
      </c>
      <c r="C54" s="7" t="s">
        <v>91</v>
      </c>
      <c r="D54" s="7">
        <v>31020590</v>
      </c>
      <c r="E54" s="7" t="s">
        <v>63</v>
      </c>
      <c r="F54" s="19">
        <v>379</v>
      </c>
      <c r="G54" s="16">
        <f t="shared" si="0"/>
        <v>379</v>
      </c>
      <c r="H54" s="7">
        <v>6</v>
      </c>
      <c r="I54" s="12">
        <v>4</v>
      </c>
      <c r="K54" s="1"/>
    </row>
    <row r="55" spans="1:11" x14ac:dyDescent="0.3">
      <c r="A55" s="7" t="s">
        <v>47</v>
      </c>
      <c r="B55" s="7" t="s">
        <v>9</v>
      </c>
      <c r="C55" s="7" t="s">
        <v>91</v>
      </c>
      <c r="D55" s="7">
        <v>31021015</v>
      </c>
      <c r="E55" s="7" t="s">
        <v>64</v>
      </c>
      <c r="F55" s="19">
        <v>499</v>
      </c>
      <c r="G55" s="16">
        <f t="shared" si="0"/>
        <v>499</v>
      </c>
      <c r="H55" s="7">
        <v>6</v>
      </c>
      <c r="I55" s="12">
        <v>4</v>
      </c>
      <c r="K55" s="1"/>
    </row>
    <row r="56" spans="1:11" x14ac:dyDescent="0.3">
      <c r="A56" s="7" t="s">
        <v>47</v>
      </c>
      <c r="B56" s="7" t="s">
        <v>78</v>
      </c>
      <c r="C56" s="7" t="s">
        <v>91</v>
      </c>
      <c r="D56" s="7">
        <v>31020436</v>
      </c>
      <c r="E56" s="7" t="s">
        <v>65</v>
      </c>
      <c r="F56" s="19">
        <v>299</v>
      </c>
      <c r="G56" s="16">
        <f t="shared" si="0"/>
        <v>299</v>
      </c>
      <c r="H56" s="7">
        <v>6</v>
      </c>
      <c r="I56" s="12">
        <v>4</v>
      </c>
      <c r="K56" s="1"/>
    </row>
    <row r="57" spans="1:11" x14ac:dyDescent="0.3">
      <c r="A57" s="7" t="s">
        <v>47</v>
      </c>
      <c r="B57" s="7" t="s">
        <v>78</v>
      </c>
      <c r="C57" s="7">
        <v>9999</v>
      </c>
      <c r="D57" s="7">
        <v>31020735</v>
      </c>
      <c r="E57" s="7" t="s">
        <v>66</v>
      </c>
      <c r="F57" s="19">
        <v>583</v>
      </c>
      <c r="G57" s="16">
        <f t="shared" si="0"/>
        <v>583</v>
      </c>
      <c r="H57" s="7">
        <v>12</v>
      </c>
      <c r="I57" s="12">
        <v>2</v>
      </c>
      <c r="K57" s="1"/>
    </row>
  </sheetData>
  <autoFilter ref="A1:L57" xr:uid="{4D870034-242D-49C0-BE89-40E84D61E957}"/>
  <phoneticPr fontId="10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6AE87-395E-43D1-BB7D-A2A12FDB9EFF}">
  <dimension ref="A1:G13"/>
  <sheetViews>
    <sheetView workbookViewId="0">
      <selection activeCell="B8" sqref="B8"/>
    </sheetView>
  </sheetViews>
  <sheetFormatPr defaultRowHeight="14.4" x14ac:dyDescent="0.3"/>
  <cols>
    <col min="1" max="1" width="31.6640625" customWidth="1"/>
    <col min="2" max="7" width="26" customWidth="1"/>
  </cols>
  <sheetData>
    <row r="1" spans="1:7" ht="60" customHeight="1" x14ac:dyDescent="0.3">
      <c r="A1" s="5" t="s">
        <v>83</v>
      </c>
      <c r="B1" s="5"/>
      <c r="C1" s="6"/>
      <c r="D1" s="6"/>
    </row>
    <row r="2" spans="1:7" x14ac:dyDescent="0.3">
      <c r="A2" t="s">
        <v>67</v>
      </c>
      <c r="B2" t="s">
        <v>91</v>
      </c>
      <c r="C2" t="s">
        <v>91</v>
      </c>
      <c r="D2" t="s">
        <v>91</v>
      </c>
      <c r="E2" t="s">
        <v>91</v>
      </c>
    </row>
    <row r="3" spans="1:7" x14ac:dyDescent="0.3">
      <c r="A3" t="s">
        <v>68</v>
      </c>
      <c r="B3" t="s">
        <v>91</v>
      </c>
      <c r="C3" t="s">
        <v>91</v>
      </c>
      <c r="D3" t="s">
        <v>91</v>
      </c>
      <c r="E3" t="s">
        <v>93</v>
      </c>
    </row>
    <row r="4" spans="1:7" x14ac:dyDescent="0.3">
      <c r="A4" t="s">
        <v>69</v>
      </c>
      <c r="B4" t="s">
        <v>91</v>
      </c>
      <c r="C4" t="s">
        <v>91</v>
      </c>
      <c r="D4" t="s">
        <v>93</v>
      </c>
      <c r="E4" t="s">
        <v>93</v>
      </c>
    </row>
    <row r="5" spans="1:7" x14ac:dyDescent="0.3">
      <c r="A5" t="s">
        <v>70</v>
      </c>
      <c r="B5" t="s">
        <v>91</v>
      </c>
      <c r="C5" t="s">
        <v>93</v>
      </c>
      <c r="D5" t="s">
        <v>93</v>
      </c>
      <c r="E5" t="s">
        <v>93</v>
      </c>
    </row>
    <row r="6" spans="1:7" x14ac:dyDescent="0.3">
      <c r="A6" t="s">
        <v>71</v>
      </c>
      <c r="B6" t="s">
        <v>93</v>
      </c>
      <c r="C6" t="s">
        <v>93</v>
      </c>
      <c r="D6" t="s">
        <v>93</v>
      </c>
      <c r="E6" t="s">
        <v>93</v>
      </c>
    </row>
    <row r="7" spans="1:7" x14ac:dyDescent="0.3">
      <c r="A7" t="s">
        <v>72</v>
      </c>
      <c r="B7" t="s">
        <v>91</v>
      </c>
      <c r="C7" t="s">
        <v>91</v>
      </c>
      <c r="D7" t="s">
        <v>92</v>
      </c>
      <c r="E7" t="s">
        <v>92</v>
      </c>
      <c r="F7" t="s">
        <v>97</v>
      </c>
      <c r="G7" t="s">
        <v>97</v>
      </c>
    </row>
    <row r="8" spans="1:7" x14ac:dyDescent="0.3">
      <c r="A8" t="s">
        <v>84</v>
      </c>
    </row>
    <row r="9" spans="1:7" x14ac:dyDescent="0.3">
      <c r="A9" t="s">
        <v>85</v>
      </c>
    </row>
    <row r="10" spans="1:7" x14ac:dyDescent="0.3">
      <c r="A10" t="s">
        <v>86</v>
      </c>
    </row>
    <row r="11" spans="1:7" x14ac:dyDescent="0.3">
      <c r="A11" t="s">
        <v>87</v>
      </c>
    </row>
    <row r="12" spans="1:7" x14ac:dyDescent="0.3">
      <c r="A12" t="s">
        <v>88</v>
      </c>
      <c r="B12" t="s">
        <v>4</v>
      </c>
      <c r="C12" t="s">
        <v>4</v>
      </c>
      <c r="D12" t="s">
        <v>10</v>
      </c>
      <c r="E12" t="s">
        <v>81</v>
      </c>
    </row>
    <row r="13" spans="1:7" x14ac:dyDescent="0.3">
      <c r="A13" t="s">
        <v>89</v>
      </c>
      <c r="B13" t="s">
        <v>3</v>
      </c>
      <c r="C13" t="s">
        <v>6</v>
      </c>
      <c r="D13" t="s">
        <v>11</v>
      </c>
      <c r="E13" t="s">
        <v>11</v>
      </c>
    </row>
  </sheetData>
  <phoneticPr fontId="10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1b89379-e28c-4971-b9ce-0b428bf8dafd}" enabled="0" method="" siteId="{41b89379-e28c-4971-b9ce-0b428bf8daf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</vt:lpstr>
      <vt:lpstr>Combination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Frombeck</dc:creator>
  <cp:keywords/>
  <dc:description/>
  <cp:lastModifiedBy>Qi Qu</cp:lastModifiedBy>
  <cp:revision/>
  <dcterms:created xsi:type="dcterms:W3CDTF">2026-02-02T15:37:48Z</dcterms:created>
  <dcterms:modified xsi:type="dcterms:W3CDTF">2026-03-09T11:03:04Z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